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ope Summary" sheetId="1" state="visible" r:id="rId3"/>
    <sheet name="Verizon" sheetId="2" state="visible" r:id="rId4"/>
    <sheet name="T-Mobile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<sst xmlns="http://schemas.openxmlformats.org/spreadsheetml/2006/main" count="183" uniqueCount="141">
  <si>
    <t xml:space="preserve">Scale Curve Slope Estimates</t>
  </si>
  <si>
    <t xml:space="preserve">Fit: ln(cost per sub) = a + b*ln(subscribers). Each doubling of subscribers multiplies cost per sub by 2^b.</t>
  </si>
  <si>
    <t xml:space="preserve">Company / period</t>
  </si>
  <si>
    <t xml:space="preserve">Exponent b (SLOPE)</t>
  </si>
  <si>
    <t xml:space="preserve">R-squared</t>
  </si>
  <si>
    <t xml:space="preserve">Scale-curve ratio (2^b)</t>
  </si>
  <si>
    <t xml:space="preserve">Change in cost/sub per doubling</t>
  </si>
  <si>
    <t xml:space="preserve">Subscriber growth over period</t>
  </si>
  <si>
    <t xml:space="preserve">Verizon 2014-2025 (all years)</t>
  </si>
  <si>
    <t xml:space="preserve">Verizon 2014-2020 (before TracFone)</t>
  </si>
  <si>
    <t xml:space="preserve">Verizon 2021-2025 (after TracFone)</t>
  </si>
  <si>
    <t xml:space="preserve">T-Mobile 2014-2025 (all years)</t>
  </si>
  <si>
    <t xml:space="preserve">T-Mobile 2014-2019 (before Sprint)</t>
  </si>
  <si>
    <t xml:space="preserve">T-Mobile 2020-2025 (after Sprint)</t>
  </si>
  <si>
    <t xml:space="preserve">Latest-year cost per subscriber (2025)</t>
  </si>
  <si>
    <t xml:space="preserve">Verizon</t>
  </si>
  <si>
    <t xml:space="preserve">T-Mobile</t>
  </si>
  <si>
    <t xml:space="preserve">Lowest cost per sub</t>
  </si>
  <si>
    <t xml:space="preserve">Definitions</t>
  </si>
  <si>
    <t xml:space="preserve">Total costs = total operating revenues - operating income = total operating expenses (cost of services, cost of equipment, SG&amp;A, depreciation &amp; amortization, impairments). Not just cost of services.</t>
  </si>
  <si>
    <t xml:space="preserve">Verizon costs are consolidated (include Fios/wireline, ~20% of revenue), because Verizon no longer reports a standalone wireless P&amp;L after 2018. Subscribers = wireless retail connections (Consumer + Business).</t>
  </si>
  <si>
    <t xml:space="preserve">T-Mobile costs are consolidated; T-Mobile is almost entirely wireless. Subscribers = total postpaid + prepaid customers.</t>
  </si>
  <si>
    <t xml:space="preserve">A ratio below 100% means cost per subscriber falls as the company grows (e.g., 80% = costs fall 20% with each doubling). Above 100% = costs rise.</t>
  </si>
  <si>
    <t xml:space="preserve">Verizon - Wireless Scale Curve Data</t>
  </si>
  <si>
    <t xml:space="preserve">Blue = input from filings. Black = formula. Yellow rows = subscriber count estimated (see note column).</t>
  </si>
  <si>
    <t xml:space="preserve">Year</t>
  </si>
  <si>
    <t xml:space="preserve">Total operating revenues ($M)</t>
  </si>
  <si>
    <t xml:space="preserve">Operating income ($M)</t>
  </si>
  <si>
    <t xml:space="preserve">Total costs ($M) = Revenue - Operating income</t>
  </si>
  <si>
    <t xml:space="preserve">Wireless retail connections (millions)</t>
  </si>
  <si>
    <t xml:space="preserve">Cost per subscriber ($ per year)</t>
  </si>
  <si>
    <t xml:space="preserve">LN(subscribers)</t>
  </si>
  <si>
    <t xml:space="preserve">LN(cost per sub)</t>
  </si>
  <si>
    <t xml:space="preserve">Note / source of subscriber figure</t>
  </si>
  <si>
    <t xml:space="preserve">2014</t>
  </si>
  <si>
    <t xml:space="preserve">10-K table: 108,211K retail connections</t>
  </si>
  <si>
    <t xml:space="preserve">2015</t>
  </si>
  <si>
    <t xml:space="preserve">10-K table: 112,108K retail connections</t>
  </si>
  <si>
    <t xml:space="preserve">2016</t>
  </si>
  <si>
    <t xml:space="preserve">2016 Annual Report: 114,243K retail connections</t>
  </si>
  <si>
    <t xml:space="preserve">2017</t>
  </si>
  <si>
    <t xml:space="preserve">2017 10-K: 116,257K retail connections</t>
  </si>
  <si>
    <t xml:space="preserve">2018</t>
  </si>
  <si>
    <t xml:space="preserve">2018 10-K: 118.0M retail connections</t>
  </si>
  <si>
    <t xml:space="preserve">2019</t>
  </si>
  <si>
    <t xml:space="preserve">ESTIMATE: 2019 10-K Consumer 94.5M + Business ~25M (segments reorganized in 2019)</t>
  </si>
  <si>
    <t xml:space="preserve">2020</t>
  </si>
  <si>
    <t xml:space="preserve">ESTIMATE: 2020 10-K Consumer ~94M + Business ~27M</t>
  </si>
  <si>
    <t xml:space="preserve">2021</t>
  </si>
  <si>
    <t xml:space="preserve">ESTIMATE: 2021 10-K Consumer ~115M (incl. TracFone, acquired 11/23/2021) + Business ~27M</t>
  </si>
  <si>
    <t xml:space="preserve">2022</t>
  </si>
  <si>
    <t xml:space="preserve">ESTIMATE: 2022 10-K Consumer ~115M + Business ~29M</t>
  </si>
  <si>
    <t xml:space="preserve">2023</t>
  </si>
  <si>
    <t xml:space="preserve">2023: Consumer 114.97M + Business 29.78M</t>
  </si>
  <si>
    <t xml:space="preserve">2024</t>
  </si>
  <si>
    <t xml:space="preserve">2024 10-K: "over 146 million" wireless retail connections</t>
  </si>
  <si>
    <t xml:space="preserve">2025</t>
  </si>
  <si>
    <t xml:space="preserve">2025 10-K: ~147M wireless retail connections (Consumer ~116M + Business ~31M)</t>
  </si>
  <si>
    <t xml:space="preserve">T-Mobile - Wireless Scale Curve Data</t>
  </si>
  <si>
    <t xml:space="preserve">Total customers (millions)</t>
  </si>
  <si>
    <t xml:space="preserve">2014 10-K: 55,018K total customers</t>
  </si>
  <si>
    <t xml:space="preserve">63.3M total customers (revenue/op. income as recast in 2017 10-K)</t>
  </si>
  <si>
    <t xml:space="preserve">71.5M total customers (recast in 2017 10-K)</t>
  </si>
  <si>
    <t xml:space="preserve">2017 10-K: 72.6M total customers</t>
  </si>
  <si>
    <t xml:space="preserve">79.7M total customers</t>
  </si>
  <si>
    <t xml:space="preserve">86.0M total customers</t>
  </si>
  <si>
    <t xml:space="preserve">102.1M total customers (Sprint merger closed 4/1/2020)</t>
  </si>
  <si>
    <t xml:space="preserve">108.7M total customers</t>
  </si>
  <si>
    <t xml:space="preserve">113.6M total customers</t>
  </si>
  <si>
    <t xml:space="preserve">119.7M total customers</t>
  </si>
  <si>
    <t xml:space="preserve">129.5M total customers</t>
  </si>
  <si>
    <t xml:space="preserve">142.4M total customers (Q4 2025 earnings release)</t>
  </si>
  <si>
    <t xml:space="preserve">Data Sources</t>
  </si>
  <si>
    <t xml:space="preserve">Company</t>
  </si>
  <si>
    <t xml:space="preserve">Data item</t>
  </si>
  <si>
    <t xml:space="preserve">Document</t>
  </si>
  <si>
    <t xml:space="preserve">URL</t>
  </si>
  <si>
    <t xml:space="preserve">2014-2018 revenues &amp; operating income (recast five-year table)</t>
  </si>
  <si>
    <t xml:space="preserve">Verizon 2018 Annual Report, Selected Financial Data</t>
  </si>
  <si>
    <t xml:space="preserve">https://www.verizon.com/about/sites/default/files/2018-Verizon-Annual-Report-Financial-Section.pdf</t>
  </si>
  <si>
    <t xml:space="preserve">2019-2021 revenues &amp; operating income</t>
  </si>
  <si>
    <t xml:space="preserve">Verizon FY2021 Form 10-K; 4Q21 Financial &amp; Operating Information</t>
  </si>
  <si>
    <t xml:space="preserve">https://www.sec.gov/Archives/edgar/data/732712/000073271222000008/vz-20211231.htm</t>
  </si>
  <si>
    <t xml:space="preserve">2022-2024 revenues &amp; operating income</t>
  </si>
  <si>
    <t xml:space="preserve">Verizon FY2024 Form 10-K (segment reconciliation)</t>
  </si>
  <si>
    <t xml:space="preserve">https://www.sec.gov/Archives/edgar/data/732712/000073271225000006/vz-20241231.htm</t>
  </si>
  <si>
    <t xml:space="preserve">2025 revenues &amp; operating income</t>
  </si>
  <si>
    <t xml:space="preserve">Verizon 4Q25 Financial &amp; Operating Information; FY2025 10-K</t>
  </si>
  <si>
    <t xml:space="preserve">https://www.verizon.com/about/sites/default/files/2026-02/vz_4q25_foi_013026r.pdf</t>
  </si>
  <si>
    <t xml:space="preserve">2014-2015 retail connections</t>
  </si>
  <si>
    <t xml:space="preserve">Verizon 2015 Annual Report</t>
  </si>
  <si>
    <t xml:space="preserve">https://www.verizon.com/about/sites/default/files/15_vz_ar.pdf</t>
  </si>
  <si>
    <t xml:space="preserve">2016 retail connections</t>
  </si>
  <si>
    <t xml:space="preserve">Verizon 2016 Annual Report</t>
  </si>
  <si>
    <t xml:space="preserve">https://www.verizon.com/about/sites/default/files/Verizon-AnnualReport2016.pdf</t>
  </si>
  <si>
    <t xml:space="preserve">2017 retail connections</t>
  </si>
  <si>
    <t xml:space="preserve">Verizon FY2017 Form 10-K</t>
  </si>
  <si>
    <t xml:space="preserve">https://www.sec.gov/Archives/edgar/data/732712/000073271218000009/a201710-k.htm</t>
  </si>
  <si>
    <t xml:space="preserve">2018 retail connections</t>
  </si>
  <si>
    <t xml:space="preserve">Verizon FY2018 Form 10-K</t>
  </si>
  <si>
    <t xml:space="preserve">https://www.sec.gov/Archives/edgar/data/732712/000073271219000012/a2018q410-k.htm</t>
  </si>
  <si>
    <t xml:space="preserve">2019-2020 connections (Consumer + Business)</t>
  </si>
  <si>
    <t xml:space="preserve">Verizon FY2020 Form 10-K, Item 1</t>
  </si>
  <si>
    <t xml:space="preserve">https://www.verizon.com/about/sites/default/files/2020-Annual-Report-on-Form-10-K.PDF</t>
  </si>
  <si>
    <t xml:space="preserve">2021 connections; TracFone close date</t>
  </si>
  <si>
    <t xml:space="preserve">Verizon FY2021 Form 10-K</t>
  </si>
  <si>
    <t xml:space="preserve">2022 connections</t>
  </si>
  <si>
    <t xml:space="preserve">Verizon FY2022 Form 10-K</t>
  </si>
  <si>
    <t xml:space="preserve">https://www.verizon.com/about/sites/default/files/2022-Annual-Report-on-Form-10K.pdf</t>
  </si>
  <si>
    <t xml:space="preserve">2023 connections</t>
  </si>
  <si>
    <t xml:space="preserve">Verizon 4Q23 Financial &amp; Operating Information</t>
  </si>
  <si>
    <t xml:space="preserve">https://www.verizon.com/about/sites/default/files/2024-01/4Q23_VZ_FOI_012324.pdf</t>
  </si>
  <si>
    <t xml:space="preserve">2024-2025 connections</t>
  </si>
  <si>
    <t xml:space="preserve">Verizon FY2025 Form 10-K</t>
  </si>
  <si>
    <t xml:space="preserve">https://www.verizon.com/about/sites/default/files/2025-Annual-Report-on-Form-10k.pdf</t>
  </si>
  <si>
    <t xml:space="preserve">2014 revenue, operating income, customers</t>
  </si>
  <si>
    <t xml:space="preserve">T-Mobile FY2014 Form 10-K</t>
  </si>
  <si>
    <t xml:space="preserve">https://www.sec.gov/Archives/edgar/data/0001283699/000128369915000010/tmus12312014form10-k.htm</t>
  </si>
  <si>
    <t xml:space="preserve">2015-2017 revenue &amp; operating income (recast)</t>
  </si>
  <si>
    <t xml:space="preserve">T-Mobile FY2017 Form 10-K</t>
  </si>
  <si>
    <t xml:space="preserve">https://www.sec.gov/Archives/edgar/data/1283699/000128369918000011/tmus12312017form10-k.htm</t>
  </si>
  <si>
    <t xml:space="preserve">2018-2020 revenue &amp; operating income</t>
  </si>
  <si>
    <t xml:space="preserve">T-Mobile FY2020 Form 10-K</t>
  </si>
  <si>
    <t xml:space="preserve">https://www.sec.gov/Archives/edgar/data/1283699/000128369921000039/tmus-20201231.htm</t>
  </si>
  <si>
    <t xml:space="preserve">2021-2023 revenue &amp; operating expenses</t>
  </si>
  <si>
    <t xml:space="preserve">T-Mobile FY2023 Annual Report (Form ARS)</t>
  </si>
  <si>
    <t xml:space="preserve">https://www.sec.gov/Archives/edgar/data/1283699/000119312524117982/d51404dars.pdf</t>
  </si>
  <si>
    <t xml:space="preserve">2024 results &amp; customers</t>
  </si>
  <si>
    <t xml:space="preserve">T-Mobile Q4/FY2024 earnings release</t>
  </si>
  <si>
    <t xml:space="preserve">https://www.t-mobile.com/news/business/t-mobile-q4-fy-2024-earnings</t>
  </si>
  <si>
    <t xml:space="preserve">2025 results &amp; customers</t>
  </si>
  <si>
    <t xml:space="preserve">T-Mobile Q4/FY2025 earnings release (8-K Ex. 99.1)</t>
  </si>
  <si>
    <t xml:space="preserve">https://www.sec.gov/Archives/edgar/data/1283699/000128369926000007/tmus12312025ex991.htm</t>
  </si>
  <si>
    <t xml:space="preserve">2023 customers</t>
  </si>
  <si>
    <t xml:space="preserve">T-Mobile Q4/FY2023 earnings release</t>
  </si>
  <si>
    <t xml:space="preserve">https://www.t-mobile.com/news/business/t-mobile-q4-2023-earnings</t>
  </si>
  <si>
    <t xml:space="preserve">Both</t>
  </si>
  <si>
    <t xml:space="preserve">Cross-check of yearly totals</t>
  </si>
  <si>
    <t xml:space="preserve">Macrotrends (TMUS revenue / operating income history)</t>
  </si>
  <si>
    <t xml:space="preserve">https://www.macrotrends.net/stocks/charts/TMUS/t-mobile-us/operating-income</t>
  </si>
  <si>
    <t xml:space="preserve">Verify each figure against the filing before submitting; some subscriber counts are rounded figures stated in 10-K text ("approximately X million").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</si>
</sst>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.00"/>
    <numFmt numFmtId="167" formatCode="0.0%"/>
    <numFmt numFmtId="168" formatCode="\+0.0%;\-0.0%"/>
    <numFmt numFmtId="169" formatCode="\+0%"/>
    <numFmt numFmtId="170" formatCode="\$#,##0"/>
    <numFmt numFmtId="171" formatCode="#,##0"/>
    <numFmt numFmtId="172" formatCode="0.0"/>
    <numFmt numFmtId="173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Verizon Scale Curve (2014-2025)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"Each point = one year"</c:f>
              <c:strCache>
                <c:ptCount val="1"/>
                <c:pt idx="0">
                  <c:v>Each point = one year</c:v>
                </c:pt>
              </c:strCache>
            </c:strRef>
          </c:tx>
          <c:spPr>
            <a:solidFill>
              <a:srgbClr val="1f3864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wer"/>
            <c:forward val="0"/>
            <c:backward val="0"/>
            <c:dispRSqr val="1"/>
            <c:dispEq val="1"/>
          </c:trendline>
          <c:xVal>
            <c:numRef>
              <c:f>Verizon!$E$5:$E$16</c:f>
              <c:numCache>
                <c:formatCode>0.0</c:formatCode>
                <c:ptCount val="12"/>
                <c:pt idx="0">
                  <c:v>108.2</c:v>
                </c:pt>
                <c:pt idx="1">
                  <c:v>112.1</c:v>
                </c:pt>
                <c:pt idx="2">
                  <c:v>114.2</c:v>
                </c:pt>
                <c:pt idx="3">
                  <c:v>116.3</c:v>
                </c:pt>
                <c:pt idx="4">
                  <c:v>118</c:v>
                </c:pt>
                <c:pt idx="5">
                  <c:v>119.5</c:v>
                </c:pt>
                <c:pt idx="6">
                  <c:v>121</c:v>
                </c:pt>
                <c:pt idx="7">
                  <c:v>142</c:v>
                </c:pt>
                <c:pt idx="8">
                  <c:v>144</c:v>
                </c:pt>
                <c:pt idx="9">
                  <c:v>144.8</c:v>
                </c:pt>
                <c:pt idx="10">
                  <c:v>146</c:v>
                </c:pt>
                <c:pt idx="11">
                  <c:v>147</c:v>
                </c:pt>
              </c:numCache>
            </c:numRef>
          </c:xVal>
          <c:yVal>
            <c:numRef>
              <c:f>Verizon!$F$5:$F$16</c:f>
              <c:numCache>
                <c:formatCode>\$#,##0</c:formatCode>
                <c:ptCount val="12"/>
                <c:pt idx="0">
                  <c:v>923.613678373383</c:v>
                </c:pt>
                <c:pt idx="1">
                  <c:v>901.025869759144</c:v>
                </c:pt>
                <c:pt idx="2">
                  <c:v>847.031523642732</c:v>
                </c:pt>
                <c:pt idx="3">
                  <c:v>847.884780739467</c:v>
                </c:pt>
                <c:pt idx="4">
                  <c:v>920.21186440678</c:v>
                </c:pt>
                <c:pt idx="5">
                  <c:v>849.28870292887</c:v>
                </c:pt>
                <c:pt idx="6">
                  <c:v>822.264462809917</c:v>
                </c:pt>
                <c:pt idx="7">
                  <c:v>712.429577464789</c:v>
                </c:pt>
                <c:pt idx="8">
                  <c:v>738.666666666667</c:v>
                </c:pt>
                <c:pt idx="9">
                  <c:v>767.244475138122</c:v>
                </c:pt>
                <c:pt idx="10">
                  <c:v>726.72602739726</c:v>
                </c:pt>
                <c:pt idx="11">
                  <c:v>721.299319727891</c:v>
                </c:pt>
              </c:numCache>
            </c:numRef>
          </c:yVal>
          <c:smooth val="1"/>
        </c:ser>
        <c:axId val="77324949"/>
        <c:axId val="84086266"/>
      </c:scatterChart>
      <c:valAx>
        <c:axId val="77324949"/>
        <c:scaling>
          <c:orientation val="minMax"/>
          <c:min val="10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Wireless retail connections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86266"/>
        <c:crosses val="autoZero"/>
        <c:crossBetween val="midCat"/>
      </c:valAx>
      <c:valAx>
        <c:axId val="8408626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per subscriber ($/yr)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249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T-Mobile Scale Curve (2014-2025)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"Each point = one year"</c:f>
              <c:strCache>
                <c:ptCount val="1"/>
                <c:pt idx="0">
                  <c:v>Each point = one year</c:v>
                </c:pt>
              </c:strCache>
            </c:strRef>
          </c:tx>
          <c:spPr>
            <a:solidFill>
              <a:srgbClr val="1f3864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wer"/>
            <c:forward val="0"/>
            <c:backward val="0"/>
            <c:dispRSqr val="1"/>
            <c:dispEq val="1"/>
          </c:trendline>
          <c:xVal>
            <c:numRef>
              <c:f>'T-Mobile'!$E$5:$E$16</c:f>
              <c:numCache>
                <c:formatCode>0.0</c:formatCode>
                <c:ptCount val="12"/>
                <c:pt idx="0">
                  <c:v>55</c:v>
                </c:pt>
                <c:pt idx="1">
                  <c:v>63.3</c:v>
                </c:pt>
                <c:pt idx="2">
                  <c:v>71.5</c:v>
                </c:pt>
                <c:pt idx="3">
                  <c:v>72.6</c:v>
                </c:pt>
                <c:pt idx="4">
                  <c:v>79.7</c:v>
                </c:pt>
                <c:pt idx="5">
                  <c:v>86</c:v>
                </c:pt>
                <c:pt idx="6">
                  <c:v>102.1</c:v>
                </c:pt>
                <c:pt idx="7">
                  <c:v>108.7</c:v>
                </c:pt>
                <c:pt idx="8">
                  <c:v>113.6</c:v>
                </c:pt>
                <c:pt idx="9">
                  <c:v>119.7</c:v>
                </c:pt>
                <c:pt idx="10">
                  <c:v>129.5</c:v>
                </c:pt>
                <c:pt idx="11">
                  <c:v>142.4</c:v>
                </c:pt>
              </c:numCache>
            </c:numRef>
          </c:xVal>
          <c:yVal>
            <c:numRef>
              <c:f>'T-Mobile'!$F$5:$F$16</c:f>
              <c:numCache>
                <c:formatCode>\$#,##0</c:formatCode>
                <c:ptCount val="12"/>
                <c:pt idx="0">
                  <c:v>511.781818181818</c:v>
                </c:pt>
                <c:pt idx="1">
                  <c:v>473.744075829384</c:v>
                </c:pt>
                <c:pt idx="2">
                  <c:v>467.692307692308</c:v>
                </c:pt>
                <c:pt idx="3">
                  <c:v>491.955922865014</c:v>
                </c:pt>
                <c:pt idx="4">
                  <c:v>476.800501882058</c:v>
                </c:pt>
                <c:pt idx="5">
                  <c:v>456.697674418605</c:v>
                </c:pt>
                <c:pt idx="6">
                  <c:v>604.906953966699</c:v>
                </c:pt>
                <c:pt idx="7">
                  <c:v>673.652253909844</c:v>
                </c:pt>
                <c:pt idx="8">
                  <c:v>642.852112676056</c:v>
                </c:pt>
                <c:pt idx="9">
                  <c:v>537.109440267335</c:v>
                </c:pt>
                <c:pt idx="10">
                  <c:v>489.49806949807</c:v>
                </c:pt>
                <c:pt idx="11">
                  <c:v>491.783707865169</c:v>
                </c:pt>
              </c:numCache>
            </c:numRef>
          </c:yVal>
          <c:smooth val="1"/>
        </c:ser>
        <c:axId val="95791408"/>
        <c:axId val="23286769"/>
      </c:scatterChart>
      <c:valAx>
        <c:axId val="95791408"/>
        <c:scaling>
          <c:orientation val="minMax"/>
          <c:min val="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customers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86769"/>
        <c:crosses val="autoZero"/>
        <c:crossBetween val="midCat"/>
      </c:valAx>
      <c:valAx>
        <c:axId val="2328676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per subscriber ($/yr)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914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7</xdr:col>
      <xdr:colOff>10080</xdr:colOff>
      <xdr:row>36</xdr:row>
      <xdr:rowOff>140760</xdr:rowOff>
    </xdr:to>
    <xdr:graphicFrame>
      <xdr:nvGraphicFramePr>
        <xdr:cNvPr id="0" name="Chart 1"/>
        <xdr:cNvGraphicFramePr/>
      </xdr:nvGraphicFramePr>
      <xdr:xfrm>
        <a:off x="0" y="38480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7</xdr:col>
      <xdr:colOff>10080</xdr:colOff>
      <xdr:row>36</xdr:row>
      <xdr:rowOff>140760</xdr:rowOff>
    </xdr:to>
    <xdr:graphicFrame>
      <xdr:nvGraphicFramePr>
        <xdr:cNvPr id="1" name="Chart 1"/>
        <xdr:cNvGraphicFramePr/>
      </xdr:nvGraphicFramePr>
      <xdr:xfrm>
        <a:off x="0" y="38480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f aca="false">SLOPE(Verizon!H5:H16,Verizon!G5:G16)</f>
        <v>-0.766972435792023</v>
      </c>
      <c r="C5" s="7" t="n">
        <f aca="false">RSQ(Verizon!H5:H16,Verizon!G5:G16)</f>
        <v>0.889308180663207</v>
      </c>
      <c r="D5" s="8" t="n">
        <f aca="false">2^B5</f>
        <v>0.587649391763078</v>
      </c>
      <c r="E5" s="9" t="n">
        <f aca="false">D5-1</f>
        <v>-0.412350608236922</v>
      </c>
      <c r="F5" s="10" t="n">
        <f aca="false">Verizon!E16/Verizon!E5-1</f>
        <v>0.358595194085028</v>
      </c>
    </row>
    <row r="6" customFormat="false" ht="15" hidden="false" customHeight="false" outlineLevel="0" collapsed="false">
      <c r="A6" s="5" t="s">
        <v>9</v>
      </c>
      <c r="B6" s="6" t="n">
        <f aca="false">SLOPE(Verizon!H5:H11,Verizon!G5:G11)</f>
        <v>-0.776570645801945</v>
      </c>
      <c r="C6" s="7" t="n">
        <f aca="false">RSQ(Verizon!H5:H11,Verizon!G5:G11)</f>
        <v>0.421078766308093</v>
      </c>
      <c r="D6" s="8" t="n">
        <f aca="false">2^B6</f>
        <v>0.583752753179188</v>
      </c>
      <c r="E6" s="9" t="n">
        <f aca="false">D6-1</f>
        <v>-0.416247246820812</v>
      </c>
      <c r="F6" s="10" t="n">
        <f aca="false">Verizon!E11/Verizon!E5-1</f>
        <v>0.118299445471349</v>
      </c>
    </row>
    <row r="7" customFormat="false" ht="15" hidden="false" customHeight="false" outlineLevel="0" collapsed="false">
      <c r="A7" s="5" t="s">
        <v>10</v>
      </c>
      <c r="B7" s="6" t="n">
        <f aca="false">SLOPE(Verizon!H12:H16,Verizon!G12:G16)</f>
        <v>0.282413503687028</v>
      </c>
      <c r="C7" s="7" t="n">
        <f aca="false">RSQ(Verizon!H12:H16,Verizon!G12:G16)</f>
        <v>0.0171508307717168</v>
      </c>
      <c r="D7" s="8" t="n">
        <f aca="false">2^B7</f>
        <v>1.21622782713105</v>
      </c>
      <c r="E7" s="9" t="n">
        <f aca="false">D7-1</f>
        <v>0.216227827131046</v>
      </c>
      <c r="F7" s="10" t="n">
        <f aca="false">Verizon!E16/Verizon!E12-1</f>
        <v>0.0352112676056338</v>
      </c>
    </row>
    <row r="8" customFormat="false" ht="15" hidden="false" customHeight="false" outlineLevel="0" collapsed="false">
      <c r="A8" s="5" t="s">
        <v>11</v>
      </c>
      <c r="B8" s="6" t="n">
        <f aca="false">SLOPE('T-Mobile'!H5:H16,'T-Mobile'!G5:G16)</f>
        <v>0.16996923208928</v>
      </c>
      <c r="C8" s="7" t="n">
        <f aca="false">RSQ('T-Mobile'!H5:H16,'T-Mobile'!G5:G16)</f>
        <v>0.153353797614179</v>
      </c>
      <c r="D8" s="8" t="n">
        <f aca="false">2^B8</f>
        <v>1.12503449117049</v>
      </c>
      <c r="E8" s="9" t="n">
        <f aca="false">D8-1</f>
        <v>0.125034491170488</v>
      </c>
      <c r="F8" s="10" t="n">
        <f aca="false">'T-Mobile'!E16/'T-Mobile'!E5-1</f>
        <v>1.58909090909091</v>
      </c>
    </row>
    <row r="9" customFormat="false" ht="15" hidden="false" customHeight="false" outlineLevel="0" collapsed="false">
      <c r="A9" s="5" t="s">
        <v>12</v>
      </c>
      <c r="B9" s="6" t="n">
        <f aca="false">SLOPE('T-Mobile'!H5:H10,'T-Mobile'!G5:G10)</f>
        <v>-0.192870039038348</v>
      </c>
      <c r="C9" s="7" t="n">
        <f aca="false">RSQ('T-Mobile'!H5:H10,'T-Mobile'!G5:G10)</f>
        <v>0.593428371313202</v>
      </c>
      <c r="D9" s="8" t="n">
        <f aca="false">2^B9</f>
        <v>0.87486357088133</v>
      </c>
      <c r="E9" s="9" t="n">
        <f aca="false">D9-1</f>
        <v>-0.12513642911867</v>
      </c>
      <c r="F9" s="10" t="n">
        <f aca="false">'T-Mobile'!E10/'T-Mobile'!E5-1</f>
        <v>0.563636363636364</v>
      </c>
    </row>
    <row r="10" customFormat="false" ht="15" hidden="false" customHeight="false" outlineLevel="0" collapsed="false">
      <c r="A10" s="5" t="s">
        <v>13</v>
      </c>
      <c r="B10" s="6" t="n">
        <f aca="false">SLOPE('T-Mobile'!H11:H16,'T-Mobile'!G11:G16)</f>
        <v>-0.951070520297377</v>
      </c>
      <c r="C10" s="7" t="n">
        <f aca="false">RSQ('T-Mobile'!H11:H16,'T-Mobile'!G11:G16)</f>
        <v>0.701069725414399</v>
      </c>
      <c r="D10" s="8" t="n">
        <f aca="false">2^B10</f>
        <v>0.517248506545547</v>
      </c>
      <c r="E10" s="9" t="n">
        <f aca="false">D10-1</f>
        <v>-0.482751493454453</v>
      </c>
      <c r="F10" s="10" t="n">
        <f aca="false">'T-Mobile'!E16/'T-Mobile'!E11-1</f>
        <v>0.394711067580803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11" t="s">
        <v>14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15</v>
      </c>
      <c r="B13" s="12" t="n">
        <f aca="false">Verizon!F16</f>
        <v>721.299319727891</v>
      </c>
      <c r="C13" s="2"/>
      <c r="D13" s="2"/>
      <c r="E13" s="2"/>
      <c r="F13" s="2"/>
    </row>
    <row r="14" customFormat="false" ht="15" hidden="false" customHeight="false" outlineLevel="0" collapsed="false">
      <c r="A14" s="2" t="s">
        <v>16</v>
      </c>
      <c r="B14" s="12" t="n">
        <f aca="false">'T-Mobile'!F16</f>
        <v>491.783707865169</v>
      </c>
      <c r="C14" s="2"/>
      <c r="D14" s="2"/>
      <c r="E14" s="2"/>
      <c r="F14" s="2"/>
    </row>
    <row r="15" customFormat="false" ht="15" hidden="false" customHeight="false" outlineLevel="0" collapsed="false">
      <c r="A15" s="2" t="s">
        <v>17</v>
      </c>
      <c r="B15" s="2" t="str">
        <f aca="false">IF(B14&lt;B13,"T-Mobile","Verizon")</f>
        <v>T-Mobile</v>
      </c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11" t="s">
        <v>18</v>
      </c>
      <c r="B17" s="2"/>
      <c r="C17" s="2"/>
      <c r="D17" s="2"/>
      <c r="E17" s="2"/>
      <c r="F17" s="2"/>
    </row>
    <row r="18" customFormat="false" ht="30" hidden="false" customHeight="true" outlineLevel="0" collapsed="false">
      <c r="A18" s="13" t="s">
        <v>19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13" t="s">
        <v>20</v>
      </c>
      <c r="B19" s="13"/>
      <c r="C19" s="13"/>
      <c r="D19" s="13"/>
      <c r="E19" s="13"/>
      <c r="F19" s="13"/>
    </row>
    <row r="20" customFormat="false" ht="30" hidden="false" customHeight="true" outlineLevel="0" collapsed="false">
      <c r="A20" s="13" t="s">
        <v>21</v>
      </c>
      <c r="B20" s="13"/>
      <c r="C20" s="13"/>
      <c r="D20" s="13"/>
      <c r="E20" s="13"/>
      <c r="F20" s="13"/>
    </row>
    <row r="21" customFormat="false" ht="30" hidden="false" customHeight="true" outlineLevel="0" collapsed="false">
      <c r="A21" s="13" t="s">
        <v>22</v>
      </c>
      <c r="B21" s="13"/>
      <c r="C21" s="13"/>
      <c r="D21" s="13"/>
      <c r="E21" s="13"/>
      <c r="F21" s="13"/>
    </row>
  </sheetData>
  <mergeCells count="4"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3" t="s">
        <v>24</v>
      </c>
    </row>
    <row r="4" customFormat="false" ht="48" hidden="false" customHeight="true" outlineLevel="0" collapsed="false">
      <c r="A4" s="14" t="s">
        <v>25</v>
      </c>
      <c r="B4" s="14" t="s">
        <v>26</v>
      </c>
      <c r="C4" s="14" t="s">
        <v>27</v>
      </c>
      <c r="D4" s="14" t="s">
        <v>28</v>
      </c>
      <c r="E4" s="14" t="s">
        <v>29</v>
      </c>
      <c r="F4" s="14" t="s">
        <v>30</v>
      </c>
      <c r="G4" s="14" t="s">
        <v>31</v>
      </c>
      <c r="H4" s="14" t="s">
        <v>32</v>
      </c>
      <c r="I4" s="14" t="s">
        <v>33</v>
      </c>
    </row>
    <row r="5" customFormat="false" ht="15" hidden="false" customHeight="false" outlineLevel="0" collapsed="false">
      <c r="A5" s="15" t="s">
        <v>34</v>
      </c>
      <c r="B5" s="16" t="n">
        <v>127079</v>
      </c>
      <c r="C5" s="16" t="n">
        <v>27144</v>
      </c>
      <c r="D5" s="17" t="n">
        <f aca="false">B5-C5</f>
        <v>99935</v>
      </c>
      <c r="E5" s="18" t="n">
        <v>108.2</v>
      </c>
      <c r="F5" s="19" t="n">
        <f aca="false">D5/E5</f>
        <v>923.613678373383</v>
      </c>
      <c r="G5" s="20" t="n">
        <f aca="false">LN(E5)</f>
        <v>4.68398136641238</v>
      </c>
      <c r="H5" s="20" t="n">
        <f aca="false">LN(F5)</f>
        <v>6.82829388721626</v>
      </c>
      <c r="I5" s="21" t="s">
        <v>35</v>
      </c>
    </row>
    <row r="6" customFormat="false" ht="15" hidden="false" customHeight="false" outlineLevel="0" collapsed="false">
      <c r="A6" s="15" t="s">
        <v>36</v>
      </c>
      <c r="B6" s="16" t="n">
        <v>131620</v>
      </c>
      <c r="C6" s="16" t="n">
        <v>30615</v>
      </c>
      <c r="D6" s="17" t="n">
        <f aca="false">B6-C6</f>
        <v>101005</v>
      </c>
      <c r="E6" s="18" t="n">
        <v>112.1</v>
      </c>
      <c r="F6" s="19" t="n">
        <f aca="false">D6/E6</f>
        <v>901.025869759144</v>
      </c>
      <c r="G6" s="20" t="n">
        <f aca="false">LN(E6)</f>
        <v>4.71939133007811</v>
      </c>
      <c r="H6" s="20" t="n">
        <f aca="false">LN(F6)</f>
        <v>6.80353396947045</v>
      </c>
      <c r="I6" s="21" t="s">
        <v>37</v>
      </c>
    </row>
    <row r="7" customFormat="false" ht="15" hidden="false" customHeight="false" outlineLevel="0" collapsed="false">
      <c r="A7" s="15" t="s">
        <v>38</v>
      </c>
      <c r="B7" s="16" t="n">
        <v>125980</v>
      </c>
      <c r="C7" s="16" t="n">
        <v>29249</v>
      </c>
      <c r="D7" s="17" t="n">
        <f aca="false">B7-C7</f>
        <v>96731</v>
      </c>
      <c r="E7" s="18" t="n">
        <v>114.2</v>
      </c>
      <c r="F7" s="19" t="n">
        <f aca="false">D7/E7</f>
        <v>847.031523642732</v>
      </c>
      <c r="G7" s="20" t="n">
        <f aca="false">LN(E7)</f>
        <v>4.73795129722191</v>
      </c>
      <c r="H7" s="20" t="n">
        <f aca="false">LN(F7)</f>
        <v>6.74173791195562</v>
      </c>
      <c r="I7" s="21" t="s">
        <v>39</v>
      </c>
    </row>
    <row r="8" customFormat="false" ht="15" hidden="false" customHeight="false" outlineLevel="0" collapsed="false">
      <c r="A8" s="15" t="s">
        <v>40</v>
      </c>
      <c r="B8" s="16" t="n">
        <v>126034</v>
      </c>
      <c r="C8" s="16" t="n">
        <v>27425</v>
      </c>
      <c r="D8" s="17" t="n">
        <f aca="false">B8-C8</f>
        <v>98609</v>
      </c>
      <c r="E8" s="18" t="n">
        <v>116.3</v>
      </c>
      <c r="F8" s="19" t="n">
        <f aca="false">D8/E8</f>
        <v>847.884780739467</v>
      </c>
      <c r="G8" s="20" t="n">
        <f aca="false">LN(E8)</f>
        <v>4.75617305952462</v>
      </c>
      <c r="H8" s="20" t="n">
        <f aca="false">LN(F8)</f>
        <v>6.742744754791</v>
      </c>
      <c r="I8" s="21" t="s">
        <v>41</v>
      </c>
    </row>
    <row r="9" customFormat="false" ht="15" hidden="false" customHeight="false" outlineLevel="0" collapsed="false">
      <c r="A9" s="15" t="s">
        <v>42</v>
      </c>
      <c r="B9" s="16" t="n">
        <v>130863</v>
      </c>
      <c r="C9" s="16" t="n">
        <v>22278</v>
      </c>
      <c r="D9" s="17" t="n">
        <f aca="false">B9-C9</f>
        <v>108585</v>
      </c>
      <c r="E9" s="18" t="n">
        <v>118</v>
      </c>
      <c r="F9" s="19" t="n">
        <f aca="false">D9/E9</f>
        <v>920.21186440678</v>
      </c>
      <c r="G9" s="20" t="n">
        <f aca="false">LN(E9)</f>
        <v>4.77068462446567</v>
      </c>
      <c r="H9" s="20" t="n">
        <f aca="false">LN(F9)</f>
        <v>6.82460393092969</v>
      </c>
      <c r="I9" s="21" t="s">
        <v>43</v>
      </c>
    </row>
    <row r="10" customFormat="false" ht="15" hidden="false" customHeight="false" outlineLevel="0" collapsed="false">
      <c r="A10" s="22" t="s">
        <v>44</v>
      </c>
      <c r="B10" s="23" t="n">
        <v>131868</v>
      </c>
      <c r="C10" s="23" t="n">
        <v>30378</v>
      </c>
      <c r="D10" s="24" t="n">
        <f aca="false">B10-C10</f>
        <v>101490</v>
      </c>
      <c r="E10" s="25" t="n">
        <v>119.5</v>
      </c>
      <c r="F10" s="26" t="n">
        <f aca="false">D10/E10</f>
        <v>849.28870292887</v>
      </c>
      <c r="G10" s="27" t="n">
        <f aca="false">LN(E10)</f>
        <v>4.78331637137157</v>
      </c>
      <c r="H10" s="27" t="n">
        <f aca="false">LN(F10)</f>
        <v>6.7443991790713</v>
      </c>
      <c r="I10" s="28" t="s">
        <v>45</v>
      </c>
    </row>
    <row r="11" customFormat="false" ht="15" hidden="false" customHeight="false" outlineLevel="0" collapsed="false">
      <c r="A11" s="22" t="s">
        <v>46</v>
      </c>
      <c r="B11" s="23" t="n">
        <v>128292</v>
      </c>
      <c r="C11" s="23" t="n">
        <v>28798</v>
      </c>
      <c r="D11" s="24" t="n">
        <f aca="false">B11-C11</f>
        <v>99494</v>
      </c>
      <c r="E11" s="25" t="n">
        <v>121</v>
      </c>
      <c r="F11" s="26" t="n">
        <f aca="false">D11/E11</f>
        <v>822.264462809917</v>
      </c>
      <c r="G11" s="27" t="n">
        <f aca="false">LN(E11)</f>
        <v>4.79579054559674</v>
      </c>
      <c r="H11" s="27" t="n">
        <f aca="false">LN(F11)</f>
        <v>6.7120620742242</v>
      </c>
      <c r="I11" s="28" t="s">
        <v>47</v>
      </c>
    </row>
    <row r="12" customFormat="false" ht="15" hidden="false" customHeight="false" outlineLevel="0" collapsed="false">
      <c r="A12" s="22" t="s">
        <v>48</v>
      </c>
      <c r="B12" s="23" t="n">
        <v>133613</v>
      </c>
      <c r="C12" s="23" t="n">
        <v>32448</v>
      </c>
      <c r="D12" s="24" t="n">
        <f aca="false">B12-C12</f>
        <v>101165</v>
      </c>
      <c r="E12" s="25" t="n">
        <v>142</v>
      </c>
      <c r="F12" s="26" t="n">
        <f aca="false">D12/E12</f>
        <v>712.429577464789</v>
      </c>
      <c r="G12" s="27" t="n">
        <f aca="false">LN(E12)</f>
        <v>4.95582705760126</v>
      </c>
      <c r="H12" s="27" t="n">
        <f aca="false">LN(F12)</f>
        <v>6.56868106861203</v>
      </c>
      <c r="I12" s="28" t="s">
        <v>49</v>
      </c>
    </row>
    <row r="13" customFormat="false" ht="15" hidden="false" customHeight="false" outlineLevel="0" collapsed="false">
      <c r="A13" s="22" t="s">
        <v>50</v>
      </c>
      <c r="B13" s="23" t="n">
        <v>136835</v>
      </c>
      <c r="C13" s="23" t="n">
        <v>30467</v>
      </c>
      <c r="D13" s="24" t="n">
        <f aca="false">B13-C13</f>
        <v>106368</v>
      </c>
      <c r="E13" s="25" t="n">
        <v>144</v>
      </c>
      <c r="F13" s="26" t="n">
        <f aca="false">D13/E13</f>
        <v>738.666666666667</v>
      </c>
      <c r="G13" s="27" t="n">
        <f aca="false">LN(E13)</f>
        <v>4.969813299576</v>
      </c>
      <c r="H13" s="27" t="n">
        <f aca="false">LN(F13)</f>
        <v>6.60484675919907</v>
      </c>
      <c r="I13" s="28" t="s">
        <v>51</v>
      </c>
    </row>
    <row r="14" customFormat="false" ht="15" hidden="false" customHeight="false" outlineLevel="0" collapsed="false">
      <c r="A14" s="15" t="s">
        <v>52</v>
      </c>
      <c r="B14" s="16" t="n">
        <v>133974</v>
      </c>
      <c r="C14" s="16" t="n">
        <v>22877</v>
      </c>
      <c r="D14" s="17" t="n">
        <f aca="false">B14-C14</f>
        <v>111097</v>
      </c>
      <c r="E14" s="18" t="n">
        <v>144.8</v>
      </c>
      <c r="F14" s="19" t="n">
        <f aca="false">D14/E14</f>
        <v>767.244475138122</v>
      </c>
      <c r="G14" s="20" t="n">
        <f aca="false">LN(E14)</f>
        <v>4.97535347995162</v>
      </c>
      <c r="H14" s="20" t="n">
        <f aca="false">LN(F14)</f>
        <v>6.64280549261126</v>
      </c>
      <c r="I14" s="21" t="s">
        <v>53</v>
      </c>
    </row>
    <row r="15" customFormat="false" ht="15" hidden="false" customHeight="false" outlineLevel="0" collapsed="false">
      <c r="A15" s="15" t="s">
        <v>54</v>
      </c>
      <c r="B15" s="16" t="n">
        <v>134788</v>
      </c>
      <c r="C15" s="16" t="n">
        <v>28686</v>
      </c>
      <c r="D15" s="17" t="n">
        <f aca="false">B15-C15</f>
        <v>106102</v>
      </c>
      <c r="E15" s="18" t="n">
        <v>146</v>
      </c>
      <c r="F15" s="19" t="n">
        <f aca="false">D15/E15</f>
        <v>726.72602739726</v>
      </c>
      <c r="G15" s="20" t="n">
        <f aca="false">LN(E15)</f>
        <v>4.98360662170834</v>
      </c>
      <c r="H15" s="20" t="n">
        <f aca="false">LN(F15)</f>
        <v>6.58854955285745</v>
      </c>
      <c r="I15" s="21" t="s">
        <v>55</v>
      </c>
    </row>
    <row r="16" customFormat="false" ht="15" hidden="false" customHeight="false" outlineLevel="0" collapsed="false">
      <c r="A16" s="15" t="s">
        <v>56</v>
      </c>
      <c r="B16" s="16" t="n">
        <v>138191</v>
      </c>
      <c r="C16" s="16" t="n">
        <v>32160</v>
      </c>
      <c r="D16" s="17" t="n">
        <f aca="false">B16-C16</f>
        <v>106031</v>
      </c>
      <c r="E16" s="18" t="n">
        <v>147</v>
      </c>
      <c r="F16" s="19" t="n">
        <f aca="false">D16/E16</f>
        <v>721.299319727891</v>
      </c>
      <c r="G16" s="20" t="n">
        <f aca="false">LN(E16)</f>
        <v>4.99043258677874</v>
      </c>
      <c r="H16" s="20" t="n">
        <f aca="false">LN(F16)</f>
        <v>6.58105419638966</v>
      </c>
      <c r="I16" s="2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3" t="s">
        <v>24</v>
      </c>
    </row>
    <row r="4" customFormat="false" ht="48" hidden="false" customHeight="true" outlineLevel="0" collapsed="false">
      <c r="A4" s="14" t="s">
        <v>25</v>
      </c>
      <c r="B4" s="14" t="s">
        <v>26</v>
      </c>
      <c r="C4" s="14" t="s">
        <v>27</v>
      </c>
      <c r="D4" s="14" t="s">
        <v>28</v>
      </c>
      <c r="E4" s="14" t="s">
        <v>59</v>
      </c>
      <c r="F4" s="14" t="s">
        <v>30</v>
      </c>
      <c r="G4" s="14" t="s">
        <v>31</v>
      </c>
      <c r="H4" s="14" t="s">
        <v>32</v>
      </c>
      <c r="I4" s="14" t="s">
        <v>33</v>
      </c>
    </row>
    <row r="5" customFormat="false" ht="15" hidden="false" customHeight="false" outlineLevel="0" collapsed="false">
      <c r="A5" s="15" t="s">
        <v>34</v>
      </c>
      <c r="B5" s="16" t="n">
        <v>29564</v>
      </c>
      <c r="C5" s="16" t="n">
        <v>1416</v>
      </c>
      <c r="D5" s="17" t="n">
        <f aca="false">B5-C5</f>
        <v>28148</v>
      </c>
      <c r="E5" s="18" t="n">
        <v>55</v>
      </c>
      <c r="F5" s="19" t="n">
        <f aca="false">D5/E5</f>
        <v>511.781818181818</v>
      </c>
      <c r="G5" s="20" t="n">
        <f aca="false">LN(E5)</f>
        <v>4.00733318523247</v>
      </c>
      <c r="H5" s="20" t="n">
        <f aca="false">LN(F5)</f>
        <v>6.23789839785397</v>
      </c>
      <c r="I5" s="21" t="s">
        <v>60</v>
      </c>
    </row>
    <row r="6" customFormat="false" ht="15" hidden="false" customHeight="false" outlineLevel="0" collapsed="false">
      <c r="A6" s="15" t="s">
        <v>36</v>
      </c>
      <c r="B6" s="16" t="n">
        <v>32467</v>
      </c>
      <c r="C6" s="16" t="n">
        <v>2479</v>
      </c>
      <c r="D6" s="17" t="n">
        <f aca="false">B6-C6</f>
        <v>29988</v>
      </c>
      <c r="E6" s="18" t="n">
        <v>63.3</v>
      </c>
      <c r="F6" s="19" t="n">
        <f aca="false">D6/E6</f>
        <v>473.744075829384</v>
      </c>
      <c r="G6" s="20" t="n">
        <f aca="false">LN(E6)</f>
        <v>4.14788532915013</v>
      </c>
      <c r="H6" s="20" t="n">
        <f aca="false">LN(F6)</f>
        <v>6.16066725147282</v>
      </c>
      <c r="I6" s="21" t="s">
        <v>61</v>
      </c>
    </row>
    <row r="7" customFormat="false" ht="15" hidden="false" customHeight="false" outlineLevel="0" collapsed="false">
      <c r="A7" s="15" t="s">
        <v>38</v>
      </c>
      <c r="B7" s="16" t="n">
        <v>37490</v>
      </c>
      <c r="C7" s="16" t="n">
        <v>4050</v>
      </c>
      <c r="D7" s="17" t="n">
        <f aca="false">B7-C7</f>
        <v>33440</v>
      </c>
      <c r="E7" s="18" t="n">
        <v>71.5</v>
      </c>
      <c r="F7" s="19" t="n">
        <f aca="false">D7/E7</f>
        <v>467.692307692308</v>
      </c>
      <c r="G7" s="20" t="n">
        <f aca="false">LN(E7)</f>
        <v>4.26969744969996</v>
      </c>
      <c r="H7" s="20" t="n">
        <f aca="false">LN(F7)</f>
        <v>6.14781061749868</v>
      </c>
      <c r="I7" s="21" t="s">
        <v>62</v>
      </c>
    </row>
    <row r="8" customFormat="false" ht="15" hidden="false" customHeight="false" outlineLevel="0" collapsed="false">
      <c r="A8" s="15" t="s">
        <v>40</v>
      </c>
      <c r="B8" s="16" t="n">
        <v>40604</v>
      </c>
      <c r="C8" s="16" t="n">
        <v>4888</v>
      </c>
      <c r="D8" s="17" t="n">
        <f aca="false">B8-C8</f>
        <v>35716</v>
      </c>
      <c r="E8" s="18" t="n">
        <v>72.6</v>
      </c>
      <c r="F8" s="19" t="n">
        <f aca="false">D8/E8</f>
        <v>491.955922865014</v>
      </c>
      <c r="G8" s="20" t="n">
        <f aca="false">LN(E8)</f>
        <v>4.28496492183075</v>
      </c>
      <c r="H8" s="20" t="n">
        <f aca="false">LN(F8)</f>
        <v>6.19838912480636</v>
      </c>
      <c r="I8" s="21" t="s">
        <v>63</v>
      </c>
    </row>
    <row r="9" customFormat="false" ht="15" hidden="false" customHeight="false" outlineLevel="0" collapsed="false">
      <c r="A9" s="15" t="s">
        <v>42</v>
      </c>
      <c r="B9" s="16" t="n">
        <v>43310</v>
      </c>
      <c r="C9" s="16" t="n">
        <v>5309</v>
      </c>
      <c r="D9" s="17" t="n">
        <f aca="false">B9-C9</f>
        <v>38001</v>
      </c>
      <c r="E9" s="18" t="n">
        <v>79.7</v>
      </c>
      <c r="F9" s="19" t="n">
        <f aca="false">D9/E9</f>
        <v>476.800501882058</v>
      </c>
      <c r="G9" s="20" t="n">
        <f aca="false">LN(E9)</f>
        <v>4.37826958579617</v>
      </c>
      <c r="H9" s="20" t="n">
        <f aca="false">LN(F9)</f>
        <v>6.16709816835557</v>
      </c>
      <c r="I9" s="21" t="s">
        <v>64</v>
      </c>
    </row>
    <row r="10" customFormat="false" ht="15" hidden="false" customHeight="false" outlineLevel="0" collapsed="false">
      <c r="A10" s="15" t="s">
        <v>44</v>
      </c>
      <c r="B10" s="16" t="n">
        <v>44998</v>
      </c>
      <c r="C10" s="16" t="n">
        <v>5722</v>
      </c>
      <c r="D10" s="17" t="n">
        <f aca="false">B10-C10</f>
        <v>39276</v>
      </c>
      <c r="E10" s="18" t="n">
        <v>86</v>
      </c>
      <c r="F10" s="19" t="n">
        <f aca="false">D10/E10</f>
        <v>456.697674418605</v>
      </c>
      <c r="G10" s="20" t="n">
        <f aca="false">LN(E10)</f>
        <v>4.45434729625351</v>
      </c>
      <c r="H10" s="20" t="n">
        <f aca="false">LN(F10)</f>
        <v>6.12402162803567</v>
      </c>
      <c r="I10" s="21" t="s">
        <v>65</v>
      </c>
    </row>
    <row r="11" customFormat="false" ht="15" hidden="false" customHeight="false" outlineLevel="0" collapsed="false">
      <c r="A11" s="15" t="s">
        <v>46</v>
      </c>
      <c r="B11" s="16" t="n">
        <v>68397</v>
      </c>
      <c r="C11" s="16" t="n">
        <v>6636</v>
      </c>
      <c r="D11" s="17" t="n">
        <f aca="false">B11-C11</f>
        <v>61761</v>
      </c>
      <c r="E11" s="18" t="n">
        <v>102.1</v>
      </c>
      <c r="F11" s="19" t="n">
        <f aca="false">D11/E11</f>
        <v>604.906953966699</v>
      </c>
      <c r="G11" s="20" t="n">
        <f aca="false">LN(E11)</f>
        <v>4.62595272517062</v>
      </c>
      <c r="H11" s="20" t="n">
        <f aca="false">LN(F11)</f>
        <v>6.4050746511068</v>
      </c>
      <c r="I11" s="21" t="s">
        <v>66</v>
      </c>
    </row>
    <row r="12" customFormat="false" ht="15" hidden="false" customHeight="false" outlineLevel="0" collapsed="false">
      <c r="A12" s="15" t="s">
        <v>48</v>
      </c>
      <c r="B12" s="16" t="n">
        <v>80118</v>
      </c>
      <c r="C12" s="16" t="n">
        <v>6892</v>
      </c>
      <c r="D12" s="17" t="n">
        <f aca="false">B12-C12</f>
        <v>73226</v>
      </c>
      <c r="E12" s="18" t="n">
        <v>108.7</v>
      </c>
      <c r="F12" s="19" t="n">
        <f aca="false">D12/E12</f>
        <v>673.652253909844</v>
      </c>
      <c r="G12" s="20" t="n">
        <f aca="false">LN(E12)</f>
        <v>4.68859179412716</v>
      </c>
      <c r="H12" s="20" t="n">
        <f aca="false">LN(F12)</f>
        <v>6.51271403401359</v>
      </c>
      <c r="I12" s="21" t="s">
        <v>67</v>
      </c>
    </row>
    <row r="13" customFormat="false" ht="15" hidden="false" customHeight="false" outlineLevel="0" collapsed="false">
      <c r="A13" s="15" t="s">
        <v>50</v>
      </c>
      <c r="B13" s="16" t="n">
        <v>79571</v>
      </c>
      <c r="C13" s="16" t="n">
        <v>6543</v>
      </c>
      <c r="D13" s="17" t="n">
        <f aca="false">B13-C13</f>
        <v>73028</v>
      </c>
      <c r="E13" s="18" t="n">
        <v>113.6</v>
      </c>
      <c r="F13" s="19" t="n">
        <f aca="false">D13/E13</f>
        <v>642.852112676056</v>
      </c>
      <c r="G13" s="20" t="n">
        <f aca="false">LN(E13)</f>
        <v>4.73268350628705</v>
      </c>
      <c r="H13" s="20" t="n">
        <f aca="false">LN(F13)</f>
        <v>6.46591470194635</v>
      </c>
      <c r="I13" s="21" t="s">
        <v>68</v>
      </c>
    </row>
    <row r="14" customFormat="false" ht="15" hidden="false" customHeight="false" outlineLevel="0" collapsed="false">
      <c r="A14" s="15" t="s">
        <v>52</v>
      </c>
      <c r="B14" s="16" t="n">
        <v>78558</v>
      </c>
      <c r="C14" s="16" t="n">
        <v>14266</v>
      </c>
      <c r="D14" s="17" t="n">
        <f aca="false">B14-C14</f>
        <v>64292</v>
      </c>
      <c r="E14" s="18" t="n">
        <v>119.7</v>
      </c>
      <c r="F14" s="19" t="n">
        <f aca="false">D14/E14</f>
        <v>537.109440267335</v>
      </c>
      <c r="G14" s="20" t="n">
        <f aca="false">LN(E14)</f>
        <v>4.78498861256393</v>
      </c>
      <c r="H14" s="20" t="n">
        <f aca="false">LN(F14)</f>
        <v>6.2862018731251</v>
      </c>
      <c r="I14" s="21" t="s">
        <v>69</v>
      </c>
    </row>
    <row r="15" customFormat="false" ht="15" hidden="false" customHeight="false" outlineLevel="0" collapsed="false">
      <c r="A15" s="15" t="s">
        <v>54</v>
      </c>
      <c r="B15" s="16" t="n">
        <v>81400</v>
      </c>
      <c r="C15" s="16" t="n">
        <v>18010</v>
      </c>
      <c r="D15" s="17" t="n">
        <f aca="false">B15-C15</f>
        <v>63390</v>
      </c>
      <c r="E15" s="18" t="n">
        <v>129.5</v>
      </c>
      <c r="F15" s="19" t="n">
        <f aca="false">D15/E15</f>
        <v>489.49806949807</v>
      </c>
      <c r="G15" s="20" t="n">
        <f aca="false">LN(E15)</f>
        <v>4.86368088113959</v>
      </c>
      <c r="H15" s="20" t="n">
        <f aca="false">LN(F15)</f>
        <v>6.19338051813862</v>
      </c>
      <c r="I15" s="21" t="s">
        <v>70</v>
      </c>
    </row>
    <row r="16" customFormat="false" ht="15" hidden="false" customHeight="false" outlineLevel="0" collapsed="false">
      <c r="A16" s="15" t="s">
        <v>56</v>
      </c>
      <c r="B16" s="16" t="n">
        <v>88309</v>
      </c>
      <c r="C16" s="16" t="n">
        <v>18279</v>
      </c>
      <c r="D16" s="17" t="n">
        <f aca="false">B16-C16</f>
        <v>70030</v>
      </c>
      <c r="E16" s="18" t="n">
        <v>142.4</v>
      </c>
      <c r="F16" s="19" t="n">
        <f aca="false">D16/E16</f>
        <v>491.783707865169</v>
      </c>
      <c r="G16" s="20" t="n">
        <f aca="false">LN(E16)</f>
        <v>4.95863999897788</v>
      </c>
      <c r="H16" s="20" t="n">
        <f aca="false">LN(F16)</f>
        <v>6.19803900167169</v>
      </c>
      <c r="I16" s="2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50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29" t="s">
        <v>73</v>
      </c>
      <c r="B3" s="29" t="s">
        <v>74</v>
      </c>
      <c r="C3" s="29" t="s">
        <v>75</v>
      </c>
      <c r="D3" s="29" t="s">
        <v>76</v>
      </c>
    </row>
    <row r="4" customFormat="false" ht="15" hidden="false" customHeight="false" outlineLevel="0" collapsed="false">
      <c r="A4" s="30" t="s">
        <v>15</v>
      </c>
      <c r="B4" s="30" t="s">
        <v>77</v>
      </c>
      <c r="C4" s="30" t="s">
        <v>78</v>
      </c>
      <c r="D4" s="30" t="s">
        <v>79</v>
      </c>
    </row>
    <row r="5" customFormat="false" ht="15" hidden="false" customHeight="false" outlineLevel="0" collapsed="false">
      <c r="A5" s="30" t="s">
        <v>15</v>
      </c>
      <c r="B5" s="30" t="s">
        <v>80</v>
      </c>
      <c r="C5" s="30" t="s">
        <v>81</v>
      </c>
      <c r="D5" s="30" t="s">
        <v>82</v>
      </c>
    </row>
    <row r="6" customFormat="false" ht="15" hidden="false" customHeight="false" outlineLevel="0" collapsed="false">
      <c r="A6" s="30" t="s">
        <v>15</v>
      </c>
      <c r="B6" s="30" t="s">
        <v>83</v>
      </c>
      <c r="C6" s="30" t="s">
        <v>84</v>
      </c>
      <c r="D6" s="30" t="s">
        <v>85</v>
      </c>
    </row>
    <row r="7" customFormat="false" ht="15" hidden="false" customHeight="false" outlineLevel="0" collapsed="false">
      <c r="A7" s="30" t="s">
        <v>15</v>
      </c>
      <c r="B7" s="30" t="s">
        <v>86</v>
      </c>
      <c r="C7" s="30" t="s">
        <v>87</v>
      </c>
      <c r="D7" s="30" t="s">
        <v>88</v>
      </c>
    </row>
    <row r="8" customFormat="false" ht="15" hidden="false" customHeight="false" outlineLevel="0" collapsed="false">
      <c r="A8" s="30" t="s">
        <v>15</v>
      </c>
      <c r="B8" s="30" t="s">
        <v>89</v>
      </c>
      <c r="C8" s="30" t="s">
        <v>90</v>
      </c>
      <c r="D8" s="30" t="s">
        <v>91</v>
      </c>
    </row>
    <row r="9" customFormat="false" ht="15" hidden="false" customHeight="false" outlineLevel="0" collapsed="false">
      <c r="A9" s="30" t="s">
        <v>15</v>
      </c>
      <c r="B9" s="30" t="s">
        <v>92</v>
      </c>
      <c r="C9" s="30" t="s">
        <v>93</v>
      </c>
      <c r="D9" s="30" t="s">
        <v>94</v>
      </c>
    </row>
    <row r="10" customFormat="false" ht="15" hidden="false" customHeight="false" outlineLevel="0" collapsed="false">
      <c r="A10" s="30" t="s">
        <v>15</v>
      </c>
      <c r="B10" s="30" t="s">
        <v>95</v>
      </c>
      <c r="C10" s="30" t="s">
        <v>96</v>
      </c>
      <c r="D10" s="30" t="s">
        <v>97</v>
      </c>
    </row>
    <row r="11" customFormat="false" ht="15" hidden="false" customHeight="false" outlineLevel="0" collapsed="false">
      <c r="A11" s="30" t="s">
        <v>15</v>
      </c>
      <c r="B11" s="30" t="s">
        <v>98</v>
      </c>
      <c r="C11" s="30" t="s">
        <v>99</v>
      </c>
      <c r="D11" s="30" t="s">
        <v>100</v>
      </c>
    </row>
    <row r="12" customFormat="false" ht="15" hidden="false" customHeight="false" outlineLevel="0" collapsed="false">
      <c r="A12" s="30" t="s">
        <v>15</v>
      </c>
      <c r="B12" s="30" t="s">
        <v>101</v>
      </c>
      <c r="C12" s="30" t="s">
        <v>102</v>
      </c>
      <c r="D12" s="30" t="s">
        <v>103</v>
      </c>
    </row>
    <row r="13" customFormat="false" ht="15" hidden="false" customHeight="false" outlineLevel="0" collapsed="false">
      <c r="A13" s="30" t="s">
        <v>15</v>
      </c>
      <c r="B13" s="30" t="s">
        <v>104</v>
      </c>
      <c r="C13" s="30" t="s">
        <v>105</v>
      </c>
      <c r="D13" s="30" t="s">
        <v>82</v>
      </c>
    </row>
    <row r="14" customFormat="false" ht="15" hidden="false" customHeight="false" outlineLevel="0" collapsed="false">
      <c r="A14" s="30" t="s">
        <v>15</v>
      </c>
      <c r="B14" s="30" t="s">
        <v>106</v>
      </c>
      <c r="C14" s="30" t="s">
        <v>107</v>
      </c>
      <c r="D14" s="30" t="s">
        <v>108</v>
      </c>
    </row>
    <row r="15" customFormat="false" ht="15" hidden="false" customHeight="false" outlineLevel="0" collapsed="false">
      <c r="A15" s="30" t="s">
        <v>15</v>
      </c>
      <c r="B15" s="30" t="s">
        <v>109</v>
      </c>
      <c r="C15" s="30" t="s">
        <v>110</v>
      </c>
      <c r="D15" s="30" t="s">
        <v>111</v>
      </c>
    </row>
    <row r="16" customFormat="false" ht="15" hidden="false" customHeight="false" outlineLevel="0" collapsed="false">
      <c r="A16" s="30" t="s">
        <v>15</v>
      </c>
      <c r="B16" s="30" t="s">
        <v>112</v>
      </c>
      <c r="C16" s="30" t="s">
        <v>113</v>
      </c>
      <c r="D16" s="30" t="s">
        <v>114</v>
      </c>
    </row>
    <row r="17" customFormat="false" ht="15" hidden="false" customHeight="false" outlineLevel="0" collapsed="false">
      <c r="A17" s="30" t="s">
        <v>16</v>
      </c>
      <c r="B17" s="30" t="s">
        <v>115</v>
      </c>
      <c r="C17" s="30" t="s">
        <v>116</v>
      </c>
      <c r="D17" s="30" t="s">
        <v>117</v>
      </c>
    </row>
    <row r="18" customFormat="false" ht="15" hidden="false" customHeight="false" outlineLevel="0" collapsed="false">
      <c r="A18" s="30" t="s">
        <v>16</v>
      </c>
      <c r="B18" s="30" t="s">
        <v>118</v>
      </c>
      <c r="C18" s="30" t="s">
        <v>119</v>
      </c>
      <c r="D18" s="30" t="s">
        <v>120</v>
      </c>
    </row>
    <row r="19" customFormat="false" ht="15" hidden="false" customHeight="false" outlineLevel="0" collapsed="false">
      <c r="A19" s="30" t="s">
        <v>16</v>
      </c>
      <c r="B19" s="30" t="s">
        <v>121</v>
      </c>
      <c r="C19" s="30" t="s">
        <v>122</v>
      </c>
      <c r="D19" s="30" t="s">
        <v>123</v>
      </c>
    </row>
    <row r="20" customFormat="false" ht="15" hidden="false" customHeight="false" outlineLevel="0" collapsed="false">
      <c r="A20" s="30" t="s">
        <v>16</v>
      </c>
      <c r="B20" s="30" t="s">
        <v>124</v>
      </c>
      <c r="C20" s="30" t="s">
        <v>125</v>
      </c>
      <c r="D20" s="30" t="s">
        <v>126</v>
      </c>
    </row>
    <row r="21" customFormat="false" ht="15" hidden="false" customHeight="false" outlineLevel="0" collapsed="false">
      <c r="A21" s="30" t="s">
        <v>16</v>
      </c>
      <c r="B21" s="30" t="s">
        <v>127</v>
      </c>
      <c r="C21" s="30" t="s">
        <v>128</v>
      </c>
      <c r="D21" s="30" t="s">
        <v>129</v>
      </c>
    </row>
    <row r="22" customFormat="false" ht="15" hidden="false" customHeight="false" outlineLevel="0" collapsed="false">
      <c r="A22" s="30" t="s">
        <v>16</v>
      </c>
      <c r="B22" s="30" t="s">
        <v>130</v>
      </c>
      <c r="C22" s="30" t="s">
        <v>131</v>
      </c>
      <c r="D22" s="30" t="s">
        <v>132</v>
      </c>
    </row>
    <row r="23" customFormat="false" ht="15" hidden="false" customHeight="false" outlineLevel="0" collapsed="false">
      <c r="A23" s="30" t="s">
        <v>16</v>
      </c>
      <c r="B23" s="30" t="s">
        <v>133</v>
      </c>
      <c r="C23" s="30" t="s">
        <v>134</v>
      </c>
      <c r="D23" s="30" t="s">
        <v>135</v>
      </c>
    </row>
    <row r="24" customFormat="false" ht="15" hidden="false" customHeight="false" outlineLevel="0" collapsed="false">
      <c r="A24" s="30" t="s">
        <v>136</v>
      </c>
      <c r="B24" s="30" t="s">
        <v>137</v>
      </c>
      <c r="C24" s="30" t="s">
        <v>138</v>
      </c>
      <c r="D24" s="30" t="s">
        <v>139</v>
      </c>
    </row>
    <row r="26" customFormat="false" ht="15" hidden="false" customHeight="false" outlineLevel="0" collapsed="false">
      <c r="A26" s="3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2026-10-13T10:21:05Z</dcterms:created>
  <dc:creator>openpyxl</dc:creator>
  <dc:description/>
  <dc:language>en-US</dc:language>
  <cp:lastModifiedBy/>
  <dcterms:modified xsi:type="dcterms:W3CDTF">2026-10-13T10:21:07Z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